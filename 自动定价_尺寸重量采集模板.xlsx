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尺寸重量输入" sheetId="1" state="visible" r:id="rId1"/>
    <sheet name="物流计费逻辑" sheetId="2" state="visible" r:id="rId2"/>
    <sheet name="定价前检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0" customWidth="1" min="4" max="4"/>
    <col width="12" customWidth="1" min="5" max="5"/>
    <col width="16" customWidth="1" min="6" max="6"/>
    <col width="1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8" customWidth="1" min="21" max="21"/>
    <col width="14" customWidth="1" min="22" max="22"/>
    <col width="12" customWidth="1" min="23" max="23"/>
    <col width="36" customWidth="1" min="24" max="24"/>
  </cols>
  <sheetData>
    <row r="1">
      <c r="A1" s="1" t="inlineStr">
        <is>
          <t>SKU</t>
        </is>
      </c>
      <c r="B1" s="1" t="inlineStr">
        <is>
          <t>产品名称</t>
        </is>
      </c>
      <c r="C1" s="1" t="inlineStr">
        <is>
          <t>颜色/规格</t>
        </is>
      </c>
      <c r="D1" s="1" t="inlineStr">
        <is>
          <t>采购数量</t>
        </is>
      </c>
      <c r="E1" s="1" t="inlineStr">
        <is>
          <t>采购单价RMB</t>
        </is>
      </c>
      <c r="F1" s="1" t="inlineStr">
        <is>
          <t>国内运费总额RMB</t>
        </is>
      </c>
      <c r="G1" s="1" t="inlineStr">
        <is>
          <t>国内运费摊销RMB/件</t>
        </is>
      </c>
      <c r="H1" s="1" t="inlineStr">
        <is>
          <t>裸品长cm</t>
        </is>
      </c>
      <c r="I1" s="1" t="inlineStr">
        <is>
          <t>裸品宽cm</t>
        </is>
      </c>
      <c r="J1" s="1" t="inlineStr">
        <is>
          <t>裸品高cm</t>
        </is>
      </c>
      <c r="K1" s="1" t="inlineStr">
        <is>
          <t>裸品重量g</t>
        </is>
      </c>
      <c r="L1" s="1" t="inlineStr">
        <is>
          <t>包装后长cm</t>
        </is>
      </c>
      <c r="M1" s="1" t="inlineStr">
        <is>
          <t>包装后宽cm</t>
        </is>
      </c>
      <c r="N1" s="1" t="inlineStr">
        <is>
          <t>包装后高cm</t>
        </is>
      </c>
      <c r="O1" s="1" t="inlineStr">
        <is>
          <t>包装后重量g</t>
        </is>
      </c>
      <c r="P1" s="1" t="inlineStr">
        <is>
          <t>销售套装数量</t>
        </is>
      </c>
      <c r="Q1" s="1" t="inlineStr">
        <is>
          <t>包裹长in</t>
        </is>
      </c>
      <c r="R1" s="1" t="inlineStr">
        <is>
          <t>包裹宽in</t>
        </is>
      </c>
      <c r="S1" s="1" t="inlineStr">
        <is>
          <t>包裹高in</t>
        </is>
      </c>
      <c r="T1" s="1" t="inlineStr">
        <is>
          <t>包裹重量lb</t>
        </is>
      </c>
      <c r="U1" s="1" t="inlineStr">
        <is>
          <t>体积重lb(长宽高/139)</t>
        </is>
      </c>
      <c r="V1" s="1" t="inlineStr">
        <is>
          <t>计费重量lb</t>
        </is>
      </c>
      <c r="W1" s="1" t="inlineStr">
        <is>
          <t>是否可定价</t>
        </is>
      </c>
      <c r="X1" s="1" t="inlineStr">
        <is>
          <t>缺失项/风险</t>
        </is>
      </c>
    </row>
    <row r="2">
      <c r="A2" s="2" t="inlineStr">
        <is>
          <t>YOGA-BLOCK-BLACK</t>
        </is>
      </c>
      <c r="B2" s="2" t="inlineStr">
        <is>
          <t>瑜伽砖</t>
        </is>
      </c>
      <c r="C2" s="2" t="inlineStr">
        <is>
          <t>黑色 120g</t>
        </is>
      </c>
      <c r="D2" s="2" t="n">
        <v>3</v>
      </c>
      <c r="E2" s="2" t="n">
        <v>3.4</v>
      </c>
      <c r="F2" s="2" t="n">
        <v>17.5</v>
      </c>
      <c r="G2" s="2">
        <f>F2/SUM($D$2:$D$1000)</f>
        <v/>
      </c>
      <c r="H2" s="2" t="inlineStr"/>
      <c r="I2" s="2" t="inlineStr"/>
      <c r="J2" s="2" t="inlineStr"/>
      <c r="K2" s="2" t="n">
        <v>120</v>
      </c>
      <c r="L2" s="2" t="inlineStr"/>
      <c r="M2" s="2" t="inlineStr"/>
      <c r="N2" s="2" t="inlineStr"/>
      <c r="O2" s="2" t="inlineStr"/>
      <c r="P2" s="2" t="n">
        <v>1</v>
      </c>
      <c r="Q2" s="2">
        <f>IF(L2="","",L2/2.54)</f>
        <v/>
      </c>
      <c r="R2" s="2">
        <f>IF(M2="","",M2/2.54)</f>
        <v/>
      </c>
      <c r="S2" s="2">
        <f>IF(N2="","",N2/2.54)</f>
        <v/>
      </c>
      <c r="T2" s="2">
        <f>IF(O2="","",O2/453.59237)</f>
        <v/>
      </c>
      <c r="U2" s="2">
        <f>IF(OR(Q2="",R2="",S2=""),"",Q2*R2*S2/139)</f>
        <v/>
      </c>
      <c r="V2" s="2">
        <f>IF(OR(T2="",U2=""),"",MAX(T2,U2))</f>
        <v/>
      </c>
      <c r="W2" s="2">
        <f>IF(OR(L2="",M2="",N2="",O2=""),"否","是")</f>
        <v/>
      </c>
      <c r="X2" s="2">
        <f>TEXTJOIN("；",TRUE,IF(L2="","缺包装长","") ,IF(M2="","缺包装宽","") ,IF(N2="","缺包装高","") ,IF(O2="","缺包装后重量","") ,IF(U2&lt;&gt;"","按体积重/实重较大者测算","") )</f>
        <v/>
      </c>
    </row>
    <row r="3">
      <c r="A3" s="2" t="inlineStr">
        <is>
          <t>YOGA-BLOCK-GREEN</t>
        </is>
      </c>
      <c r="B3" s="2" t="inlineStr">
        <is>
          <t>瑜伽砖</t>
        </is>
      </c>
      <c r="C3" s="2" t="inlineStr">
        <is>
          <t>绿色 120g</t>
        </is>
      </c>
      <c r="D3" s="2" t="n">
        <v>3</v>
      </c>
      <c r="E3" s="2" t="n">
        <v>3.4</v>
      </c>
      <c r="F3" s="2" t="n">
        <v>17.5</v>
      </c>
      <c r="G3" s="2">
        <f>F3/SUM($D$2:$D$1000)</f>
        <v/>
      </c>
      <c r="H3" s="2" t="inlineStr"/>
      <c r="I3" s="2" t="inlineStr"/>
      <c r="J3" s="2" t="inlineStr"/>
      <c r="K3" s="2" t="n">
        <v>120</v>
      </c>
      <c r="L3" s="2" t="inlineStr"/>
      <c r="M3" s="2" t="inlineStr"/>
      <c r="N3" s="2" t="inlineStr"/>
      <c r="O3" s="2" t="inlineStr"/>
      <c r="P3" s="2" t="n">
        <v>1</v>
      </c>
      <c r="Q3" s="2">
        <f>IF(L3="","",L3/2.54)</f>
        <v/>
      </c>
      <c r="R3" s="2">
        <f>IF(M3="","",M3/2.54)</f>
        <v/>
      </c>
      <c r="S3" s="2">
        <f>IF(N3="","",N3/2.54)</f>
        <v/>
      </c>
      <c r="T3" s="2">
        <f>IF(O3="","",O3/453.59237)</f>
        <v/>
      </c>
      <c r="U3" s="2">
        <f>IF(OR(Q3="",R3="",S3=""),"",Q3*R3*S3/139)</f>
        <v/>
      </c>
      <c r="V3" s="2">
        <f>IF(OR(T3="",U3=""),"",MAX(T3,U3))</f>
        <v/>
      </c>
      <c r="W3" s="2">
        <f>IF(OR(L3="",M3="",N3="",O3=""),"否","是")</f>
        <v/>
      </c>
      <c r="X3" s="2">
        <f>TEXTJOIN("；",TRUE,IF(L3="","缺包装长","") ,IF(M3="","缺包装宽","") ,IF(N3="","缺包装高","") ,IF(O3="","缺包装后重量","") ,IF(U3&lt;&gt;"","按体积重/实重较大者测算","") )</f>
        <v/>
      </c>
    </row>
    <row r="4">
      <c r="A4" s="2" t="inlineStr">
        <is>
          <t>YOGA-BLOCK-PINK</t>
        </is>
      </c>
      <c r="B4" s="2" t="inlineStr">
        <is>
          <t>瑜伽砖</t>
        </is>
      </c>
      <c r="C4" s="2" t="inlineStr">
        <is>
          <t>粉色 120g</t>
        </is>
      </c>
      <c r="D4" s="2" t="n">
        <v>3</v>
      </c>
      <c r="E4" s="2" t="n">
        <v>3.4</v>
      </c>
      <c r="F4" s="2" t="n">
        <v>17.5</v>
      </c>
      <c r="G4" s="2">
        <f>F4/SUM($D$2:$D$1000)</f>
        <v/>
      </c>
      <c r="H4" s="2" t="inlineStr"/>
      <c r="I4" s="2" t="inlineStr"/>
      <c r="J4" s="2" t="inlineStr"/>
      <c r="K4" s="2" t="n">
        <v>120</v>
      </c>
      <c r="L4" s="2" t="inlineStr"/>
      <c r="M4" s="2" t="inlineStr"/>
      <c r="N4" s="2" t="inlineStr"/>
      <c r="O4" s="2" t="inlineStr"/>
      <c r="P4" s="2" t="n">
        <v>1</v>
      </c>
      <c r="Q4" s="2">
        <f>IF(L4="","",L4/2.54)</f>
        <v/>
      </c>
      <c r="R4" s="2">
        <f>IF(M4="","",M4/2.54)</f>
        <v/>
      </c>
      <c r="S4" s="2">
        <f>IF(N4="","",N4/2.54)</f>
        <v/>
      </c>
      <c r="T4" s="2">
        <f>IF(O4="","",O4/453.59237)</f>
        <v/>
      </c>
      <c r="U4" s="2">
        <f>IF(OR(Q4="",R4="",S4=""),"",Q4*R4*S4/139)</f>
        <v/>
      </c>
      <c r="V4" s="2">
        <f>IF(OR(T4="",U4=""),"",MAX(T4,U4))</f>
        <v/>
      </c>
      <c r="W4" s="2">
        <f>IF(OR(L4="",M4="",N4="",O4=""),"否","是")</f>
        <v/>
      </c>
      <c r="X4" s="2">
        <f>TEXTJOIN("；",TRUE,IF(L4="","缺包装长","") ,IF(M4="","缺包装宽","") ,IF(N4="","缺包装高","") ,IF(O4="","缺包装后重量","") ,IF(U4&lt;&gt;"","按体积重/实重较大者测算","") )</f>
        <v/>
      </c>
    </row>
    <row r="5">
      <c r="A5" s="2" t="inlineStr">
        <is>
          <t>YOGA-BLOCK-PURPLE</t>
        </is>
      </c>
      <c r="B5" s="2" t="inlineStr">
        <is>
          <t>瑜伽砖</t>
        </is>
      </c>
      <c r="C5" s="2" t="inlineStr">
        <is>
          <t>紫色 120g</t>
        </is>
      </c>
      <c r="D5" s="2" t="n">
        <v>3</v>
      </c>
      <c r="E5" s="2" t="n">
        <v>3.4</v>
      </c>
      <c r="F5" s="2" t="n">
        <v>17.5</v>
      </c>
      <c r="G5" s="2">
        <f>F5/SUM($D$2:$D$1000)</f>
        <v/>
      </c>
      <c r="H5" s="2" t="inlineStr"/>
      <c r="I5" s="2" t="inlineStr"/>
      <c r="J5" s="2" t="inlineStr"/>
      <c r="K5" s="2" t="n">
        <v>120</v>
      </c>
      <c r="L5" s="2" t="inlineStr"/>
      <c r="M5" s="2" t="inlineStr"/>
      <c r="N5" s="2" t="inlineStr"/>
      <c r="O5" s="2" t="inlineStr"/>
      <c r="P5" s="2" t="n">
        <v>1</v>
      </c>
      <c r="Q5" s="2">
        <f>IF(L5="","",L5/2.54)</f>
        <v/>
      </c>
      <c r="R5" s="2">
        <f>IF(M5="","",M5/2.54)</f>
        <v/>
      </c>
      <c r="S5" s="2">
        <f>IF(N5="","",N5/2.54)</f>
        <v/>
      </c>
      <c r="T5" s="2">
        <f>IF(O5="","",O5/453.59237)</f>
        <v/>
      </c>
      <c r="U5" s="2">
        <f>IF(OR(Q5="",R5="",S5=""),"",Q5*R5*S5/139)</f>
        <v/>
      </c>
      <c r="V5" s="2">
        <f>IF(OR(T5="",U5=""),"",MAX(T5,U5))</f>
        <v/>
      </c>
      <c r="W5" s="2">
        <f>IF(OR(L5="",M5="",N5="",O5=""),"否","是")</f>
        <v/>
      </c>
      <c r="X5" s="2">
        <f>TEXTJOIN("；",TRUE,IF(L5="","缺包装长","") ,IF(M5="","缺包装宽","") ,IF(N5="","缺包装高","") ,IF(O5="","缺包装后重量","") ,IF(U5&lt;&gt;"","按体积重/实重较大者测算","") )</f>
        <v/>
      </c>
    </row>
    <row r="6">
      <c r="A6" s="2" t="inlineStr">
        <is>
          <t>YOGA-BLOCK-BLUE</t>
        </is>
      </c>
      <c r="B6" s="2" t="inlineStr">
        <is>
          <t>瑜伽砖</t>
        </is>
      </c>
      <c r="C6" s="2" t="inlineStr">
        <is>
          <t>蓝色 120g</t>
        </is>
      </c>
      <c r="D6" s="2" t="n">
        <v>3</v>
      </c>
      <c r="E6" s="2" t="n">
        <v>3.4</v>
      </c>
      <c r="F6" s="2" t="n">
        <v>17.5</v>
      </c>
      <c r="G6" s="2">
        <f>F6/SUM($D$2:$D$1000)</f>
        <v/>
      </c>
      <c r="H6" s="2" t="inlineStr"/>
      <c r="I6" s="2" t="inlineStr"/>
      <c r="J6" s="2" t="inlineStr"/>
      <c r="K6" s="2" t="n">
        <v>120</v>
      </c>
      <c r="L6" s="2" t="inlineStr"/>
      <c r="M6" s="2" t="inlineStr"/>
      <c r="N6" s="2" t="inlineStr"/>
      <c r="O6" s="2" t="inlineStr"/>
      <c r="P6" s="2" t="n">
        <v>1</v>
      </c>
      <c r="Q6" s="2">
        <f>IF(L6="","",L6/2.54)</f>
        <v/>
      </c>
      <c r="R6" s="2">
        <f>IF(M6="","",M6/2.54)</f>
        <v/>
      </c>
      <c r="S6" s="2">
        <f>IF(N6="","",N6/2.54)</f>
        <v/>
      </c>
      <c r="T6" s="2">
        <f>IF(O6="","",O6/453.59237)</f>
        <v/>
      </c>
      <c r="U6" s="2">
        <f>IF(OR(Q6="",R6="",S6=""),"",Q6*R6*S6/139)</f>
        <v/>
      </c>
      <c r="V6" s="2">
        <f>IF(OR(T6="",U6=""),"",MAX(T6,U6))</f>
        <v/>
      </c>
      <c r="W6" s="2">
        <f>IF(OR(L6="",M6="",N6="",O6=""),"否","是")</f>
        <v/>
      </c>
      <c r="X6" s="2">
        <f>TEXTJOIN("；",TRUE,IF(L6="","缺包装长","") ,IF(M6="","缺包装宽","") ,IF(N6="","缺包装高","") ,IF(O6="","缺包装后重量","") ,IF(U6&lt;&gt;"","按体积重/实重较大者测算","") 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规则/公式</t>
        </is>
      </c>
      <c r="C1" s="1" t="inlineStr">
        <is>
          <t>说明</t>
        </is>
      </c>
    </row>
    <row r="2">
      <c r="A2" s="2" t="inlineStr">
        <is>
          <t>必须采集</t>
        </is>
      </c>
      <c r="B2" s="2" t="inlineStr">
        <is>
          <t>包装后长、宽、高、包装后重量</t>
        </is>
      </c>
      <c r="C2" s="2" t="inlineStr">
        <is>
          <t>定价以消费者收到的单件/套装包装尺寸为准</t>
        </is>
      </c>
    </row>
    <row r="3">
      <c r="A3" s="2" t="inlineStr">
        <is>
          <t>英寸换算</t>
        </is>
      </c>
      <c r="B3" s="2" t="inlineStr">
        <is>
          <t>cm / 2.54</t>
        </is>
      </c>
      <c r="C3" s="2" t="inlineStr">
        <is>
          <t>亚马逊美国站费用通常按英寸/磅口径</t>
        </is>
      </c>
    </row>
    <row r="4">
      <c r="A4" s="2" t="inlineStr">
        <is>
          <t>磅换算</t>
        </is>
      </c>
      <c r="B4" s="2" t="inlineStr">
        <is>
          <t>g / 453.59237</t>
        </is>
      </c>
      <c r="C4" s="2" t="inlineStr">
        <is>
          <t>用于和配送费重量档匹配</t>
        </is>
      </c>
    </row>
    <row r="5">
      <c r="A5" s="2" t="inlineStr">
        <is>
          <t>体积重</t>
        </is>
      </c>
      <c r="B5" s="2" t="inlineStr">
        <is>
          <t>长in × 宽in × 高in / 139</t>
        </is>
      </c>
      <c r="C5" s="2" t="inlineStr">
        <is>
          <t>常见美国体积重除数；实际以平台/渠道规则为准</t>
        </is>
      </c>
    </row>
    <row r="6">
      <c r="A6" s="2" t="inlineStr">
        <is>
          <t>计费重量</t>
        </is>
      </c>
      <c r="B6" s="2" t="inlineStr">
        <is>
          <t>MAX(实重lb, 体积重lb)</t>
        </is>
      </c>
      <c r="C6" s="2" t="inlineStr">
        <is>
          <t>尺寸大但轻的产品会被体积重拉高费用</t>
        </is>
      </c>
    </row>
    <row r="7">
      <c r="A7" s="2" t="inlineStr">
        <is>
          <t>定价闸门</t>
        </is>
      </c>
      <c r="B7" s="2" t="inlineStr">
        <is>
          <t>缺包装尺寸或包装重量则不输出正式建议价</t>
        </is>
      </c>
      <c r="C7" s="2" t="inlineStr">
        <is>
          <t>只允许输出“待测量”状态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8" customWidth="1" min="3" max="3"/>
  </cols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处理方式</t>
        </is>
      </c>
    </row>
    <row r="2">
      <c r="A2" s="2" t="inlineStr">
        <is>
          <t>是否有包装后长宽高</t>
        </is>
      </c>
      <c r="B2" s="2" t="inlineStr">
        <is>
          <t>必填</t>
        </is>
      </c>
      <c r="C2" s="2" t="inlineStr">
        <is>
          <t>缺失则测量实物或向供应商索要包装资料</t>
        </is>
      </c>
    </row>
    <row r="3">
      <c r="A3" s="2" t="inlineStr">
        <is>
          <t>是否有包装后重量</t>
        </is>
      </c>
      <c r="B3" s="2" t="inlineStr">
        <is>
          <t>必填</t>
        </is>
      </c>
      <c r="C3" s="2" t="inlineStr">
        <is>
          <t>用厨房秤/电子秤称含包装重量</t>
        </is>
      </c>
    </row>
    <row r="4">
      <c r="A4" s="2" t="inlineStr">
        <is>
          <t>是否区分单个/套装</t>
        </is>
      </c>
      <c r="B4" s="2" t="inlineStr">
        <is>
          <t>必填</t>
        </is>
      </c>
      <c r="C4" s="2" t="inlineStr">
        <is>
          <t>1 pack、2 pack 的尺寸重量要分开</t>
        </is>
      </c>
    </row>
    <row r="5">
      <c r="A5" s="2" t="inlineStr">
        <is>
          <t>是否有压缩包装方案</t>
        </is>
      </c>
      <c r="B5" s="2" t="inlineStr">
        <is>
          <t>建议</t>
        </is>
      </c>
      <c r="C5" s="2" t="inlineStr">
        <is>
          <t>瑜伽砖体积大，压缩/薄膜包装可能影响费用档位</t>
        </is>
      </c>
    </row>
    <row r="6">
      <c r="A6" s="2" t="inlineStr">
        <is>
          <t>是否用后台费用计算器复核</t>
        </is>
      </c>
      <c r="B6" s="2" t="inlineStr">
        <is>
          <t>上架前必做</t>
        </is>
      </c>
      <c r="C6" s="2" t="inlineStr">
        <is>
          <t>自动表先做预估，最终以亚马逊测量/后台为准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2026-05-30T10:09:03Z</dcterms:created>
  <dcterms:modified xsi:type="dcterms:W3CDTF">2026-05-30T10:09:03Z</dcterms:modified>
</cp:coreProperties>
</file>